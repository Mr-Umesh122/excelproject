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5345" windowHeight="5925" firstSheet="1" activeTab="3"/>
  </bookViews>
  <sheets>
    <sheet name="PivotUnpivotData" sheetId="1" r:id="rId1"/>
    <sheet name="Sheet3" sheetId="4" r:id="rId2"/>
    <sheet name="Sheet4" sheetId="5" r:id="rId3"/>
    <sheet name="Sheet5" sheetId="6" r:id="rId4"/>
    <sheet name="Sheet2" sheetId="3" r:id="rId5"/>
    <sheet name="Sheet1" sheetId="2" r:id="rId6"/>
  </sheets>
  <definedNames>
    <definedName name="_xlnm._FilterDatabase" localSheetId="3" hidden="1">Sheet5!$B$1:$B$6</definedName>
  </definedNames>
  <calcPr calcId="152511"/>
</workbook>
</file>

<file path=xl/calcChain.xml><?xml version="1.0" encoding="utf-8"?>
<calcChain xmlns="http://schemas.openxmlformats.org/spreadsheetml/2006/main">
  <c r="A12" i="6" l="1"/>
  <c r="A10" i="6"/>
  <c r="A9" i="6"/>
  <c r="A8" i="6"/>
  <c r="H3" i="5"/>
  <c r="H4" i="5"/>
  <c r="H5" i="5"/>
  <c r="H6" i="5"/>
  <c r="H2" i="5"/>
  <c r="A11" i="6"/>
  <c r="F2" i="5"/>
  <c r="G2" i="5"/>
  <c r="E4" i="5" l="1"/>
  <c r="E3" i="5"/>
  <c r="E5" i="5"/>
  <c r="E6" i="5"/>
  <c r="E2" i="5"/>
  <c r="F3" i="4"/>
  <c r="F4" i="4"/>
  <c r="F5" i="4"/>
  <c r="F6" i="4"/>
  <c r="F7" i="4"/>
  <c r="F8" i="4"/>
  <c r="F9" i="4"/>
  <c r="F2" i="4"/>
  <c r="D21" i="3"/>
  <c r="D8" i="3"/>
  <c r="D18" i="3"/>
  <c r="D17" i="3"/>
  <c r="D16" i="3"/>
  <c r="D15" i="3"/>
  <c r="B13" i="3"/>
  <c r="D13" i="3" s="1"/>
  <c r="B12" i="3"/>
  <c r="D12" i="3" s="1"/>
  <c r="B11" i="3"/>
  <c r="D11" i="3" s="1"/>
  <c r="D19" i="3" l="1"/>
  <c r="D20" i="3"/>
  <c r="D15" i="2"/>
  <c r="C15" i="2"/>
  <c r="D3" i="2"/>
  <c r="C3" i="2" s="1"/>
  <c r="D2" i="2"/>
  <c r="C2" i="2" s="1"/>
  <c r="A9" i="2" s="1"/>
  <c r="D4" i="2"/>
  <c r="C4" i="2" s="1"/>
  <c r="D5" i="2"/>
  <c r="C5" i="2" s="1"/>
  <c r="D6" i="2"/>
  <c r="C6" i="2" s="1"/>
  <c r="B7" i="2"/>
  <c r="B3" i="2"/>
  <c r="B4" i="2"/>
  <c r="B5" i="2"/>
  <c r="B6" i="2"/>
  <c r="B2" i="2"/>
  <c r="E15" i="2"/>
  <c r="A10" i="2" l="1"/>
  <c r="A11" i="2"/>
  <c r="B11" i="2"/>
  <c r="B12" i="2"/>
  <c r="A12" i="2"/>
  <c r="A13" i="2"/>
  <c r="B9" i="2"/>
  <c r="B10" i="2"/>
  <c r="B13" i="2"/>
</calcChain>
</file>

<file path=xl/sharedStrings.xml><?xml version="1.0" encoding="utf-8"?>
<sst xmlns="http://schemas.openxmlformats.org/spreadsheetml/2006/main" count="127" uniqueCount="61">
  <si>
    <t>Employee</t>
  </si>
  <si>
    <t>Q1 Sales</t>
  </si>
  <si>
    <t>Q2 Sales</t>
  </si>
  <si>
    <t>Q3 Sales</t>
  </si>
  <si>
    <t>Q4 Sales</t>
  </si>
  <si>
    <t>John</t>
  </si>
  <si>
    <t>Jane</t>
  </si>
  <si>
    <t>Alice</t>
  </si>
  <si>
    <t>Bob</t>
  </si>
  <si>
    <t>Eva</t>
  </si>
  <si>
    <t>Full Nmae</t>
  </si>
  <si>
    <t>Email</t>
  </si>
  <si>
    <t>Department</t>
  </si>
  <si>
    <t>Join Date</t>
  </si>
  <si>
    <t>Leave Balance</t>
  </si>
  <si>
    <t>Basic Salary</t>
  </si>
  <si>
    <t>Bonus%</t>
  </si>
  <si>
    <t>Project Start</t>
  </si>
  <si>
    <t>Project End</t>
  </si>
  <si>
    <t>Weekday Join</t>
  </si>
  <si>
    <t>John Doe</t>
  </si>
  <si>
    <t>Jane smith</t>
  </si>
  <si>
    <t>Alice JOHNSON</t>
  </si>
  <si>
    <t>Bob brown</t>
  </si>
  <si>
    <t>Eva White</t>
  </si>
  <si>
    <t xml:space="preserve"> @example.com</t>
  </si>
  <si>
    <t xml:space="preserve">sales </t>
  </si>
  <si>
    <t>marketing</t>
  </si>
  <si>
    <t>alice</t>
  </si>
  <si>
    <t>hr</t>
  </si>
  <si>
    <t>markeing</t>
  </si>
  <si>
    <t>Name</t>
  </si>
  <si>
    <t>domain</t>
  </si>
  <si>
    <t>id</t>
  </si>
  <si>
    <t>emailid</t>
  </si>
  <si>
    <t>e.com</t>
  </si>
  <si>
    <t>john @example.com</t>
  </si>
  <si>
    <t>jane @example.com</t>
  </si>
  <si>
    <t>alice @example.com</t>
  </si>
  <si>
    <t>bob @example.com</t>
  </si>
  <si>
    <t>eva @example.com</t>
  </si>
  <si>
    <t xml:space="preserve">john </t>
  </si>
  <si>
    <t>example.com</t>
  </si>
  <si>
    <t xml:space="preserve">jane </t>
  </si>
  <si>
    <t xml:space="preserve">alice </t>
  </si>
  <si>
    <t xml:space="preserve">bob </t>
  </si>
  <si>
    <t xml:space="preserve">eva </t>
  </si>
  <si>
    <t>example.</t>
  </si>
  <si>
    <t>com</t>
  </si>
  <si>
    <t>eva</t>
  </si>
  <si>
    <t>Salary</t>
  </si>
  <si>
    <t xml:space="preserve">project start </t>
  </si>
  <si>
    <t>projet end</t>
  </si>
  <si>
    <t>bill max</t>
  </si>
  <si>
    <t>mile brown</t>
  </si>
  <si>
    <t>sohe bill</t>
  </si>
  <si>
    <t>project dufation</t>
  </si>
  <si>
    <t>salary status</t>
  </si>
  <si>
    <t>rating</t>
  </si>
  <si>
    <t>performance</t>
  </si>
  <si>
    <t>&gt;50000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</si>
</sst>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Font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3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project start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Sheet3!$A$2:$A$9</c:f>
              <c:strCache>
                <c:ptCount val="8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White</c:v>
                </c:pt>
                <c:pt idx="5">
                  <c:v>bill max</c:v>
                </c:pt>
                <c:pt idx="6">
                  <c:v>mile brown</c:v>
                </c:pt>
                <c:pt idx="7">
                  <c:v>sohe bill</c:v>
                </c:pt>
              </c:strCache>
            </c:strRef>
          </c:cat>
          <c:val>
            <c:numRef>
              <c:f>Sheet3!$D$2:$D$9</c:f>
              <c:numCache>
                <c:formatCode>m/d/yyyy</c:formatCode>
                <c:ptCount val="8"/>
                <c:pt idx="0">
                  <c:v>45376</c:v>
                </c:pt>
                <c:pt idx="1">
                  <c:v>45377</c:v>
                </c:pt>
                <c:pt idx="2">
                  <c:v>45378</c:v>
                </c:pt>
                <c:pt idx="3">
                  <c:v>45379</c:v>
                </c:pt>
                <c:pt idx="4">
                  <c:v>45380</c:v>
                </c:pt>
                <c:pt idx="5">
                  <c:v>45381</c:v>
                </c:pt>
                <c:pt idx="6">
                  <c:v>45382</c:v>
                </c:pt>
                <c:pt idx="7">
                  <c:v>45383</c:v>
                </c:pt>
              </c:numCache>
            </c:numRef>
          </c:val>
        </c:ser>
        <c:ser>
          <c:idx val="1"/>
          <c:order val="1"/>
          <c:tx>
            <c:strRef>
              <c:f>Sheet3!$E$1</c:f>
              <c:strCache>
                <c:ptCount val="1"/>
                <c:pt idx="0">
                  <c:v>projet 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Sheet3!$E$2:$E$9</c:f>
              <c:numCache>
                <c:formatCode>m/d/yyyy</c:formatCode>
                <c:ptCount val="8"/>
                <c:pt idx="0">
                  <c:v>45383</c:v>
                </c:pt>
                <c:pt idx="1">
                  <c:v>45384</c:v>
                </c:pt>
                <c:pt idx="2">
                  <c:v>45385</c:v>
                </c:pt>
                <c:pt idx="3">
                  <c:v>45386</c:v>
                </c:pt>
                <c:pt idx="4">
                  <c:v>45387</c:v>
                </c:pt>
                <c:pt idx="5">
                  <c:v>45388</c:v>
                </c:pt>
                <c:pt idx="6">
                  <c:v>45389</c:v>
                </c:pt>
                <c:pt idx="7">
                  <c:v>45390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043624"/>
        <c:axId val="369044016"/>
      </c:barChart>
      <c:catAx>
        <c:axId val="369043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44016"/>
        <c:crosses val="autoZero"/>
        <c:auto val="1"/>
        <c:lblAlgn val="ctr"/>
        <c:lblOffset val="100"/>
        <c:noMultiLvlLbl val="0"/>
      </c:catAx>
      <c:valAx>
        <c:axId val="36904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043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11</xdr:row>
      <xdr:rowOff>33337</xdr:rowOff>
    </xdr:from>
    <xdr:to>
      <xdr:col>6</xdr:col>
      <xdr:colOff>542925</xdr:colOff>
      <xdr:row>25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sqref="A1:C6"/>
    </sheetView>
  </sheetViews>
  <sheetFormatPr defaultRowHeight="15" x14ac:dyDescent="0.25"/>
  <cols>
    <col min="6" max="6" width="19.7109375" bestFit="1" customWidth="1"/>
    <col min="9" max="9" width="15.42578125" bestFit="1" customWidth="1"/>
  </cols>
  <sheetData>
    <row r="1" spans="1:9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t="s">
        <v>5</v>
      </c>
      <c r="B2">
        <v>2000</v>
      </c>
      <c r="C2">
        <v>2300</v>
      </c>
      <c r="D2">
        <v>2500</v>
      </c>
      <c r="E2">
        <v>2700</v>
      </c>
      <c r="I2" t="s">
        <v>25</v>
      </c>
    </row>
    <row r="3" spans="1:9" x14ac:dyDescent="0.25">
      <c r="A3" t="s">
        <v>6</v>
      </c>
      <c r="B3">
        <v>2500</v>
      </c>
      <c r="C3">
        <v>2700</v>
      </c>
      <c r="D3">
        <v>2900</v>
      </c>
      <c r="E3">
        <v>3100</v>
      </c>
      <c r="I3" t="s">
        <v>25</v>
      </c>
    </row>
    <row r="4" spans="1:9" x14ac:dyDescent="0.25">
      <c r="A4" t="s">
        <v>7</v>
      </c>
      <c r="B4">
        <v>1800</v>
      </c>
      <c r="C4">
        <v>1900</v>
      </c>
      <c r="D4">
        <v>2100</v>
      </c>
      <c r="E4">
        <v>2300</v>
      </c>
      <c r="I4" t="s">
        <v>25</v>
      </c>
    </row>
    <row r="5" spans="1:9" x14ac:dyDescent="0.25">
      <c r="A5" t="s">
        <v>8</v>
      </c>
      <c r="B5">
        <v>2200</v>
      </c>
      <c r="C5">
        <v>2400</v>
      </c>
      <c r="D5">
        <v>2600</v>
      </c>
      <c r="E5">
        <v>2800</v>
      </c>
      <c r="I5" t="s">
        <v>25</v>
      </c>
    </row>
    <row r="6" spans="1:9" x14ac:dyDescent="0.25">
      <c r="A6" t="s">
        <v>9</v>
      </c>
      <c r="B6">
        <v>2100</v>
      </c>
      <c r="C6">
        <v>2500</v>
      </c>
      <c r="D6">
        <v>2700</v>
      </c>
      <c r="E6">
        <v>2900</v>
      </c>
      <c r="I6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7" sqref="C7"/>
    </sheetView>
  </sheetViews>
  <sheetFormatPr defaultRowHeight="15" x14ac:dyDescent="0.25"/>
  <cols>
    <col min="1" max="1" width="14.7109375" bestFit="1" customWidth="1"/>
    <col min="2" max="2" width="10.42578125" bestFit="1" customWidth="1"/>
    <col min="3" max="3" width="11.140625" bestFit="1" customWidth="1"/>
    <col min="4" max="4" width="12.140625" bestFit="1" customWidth="1"/>
    <col min="5" max="5" width="10.42578125" bestFit="1" customWidth="1"/>
    <col min="6" max="6" width="15.42578125" bestFit="1" customWidth="1"/>
  </cols>
  <sheetData>
    <row r="1" spans="1:6" ht="15.75" thickBot="1" x14ac:dyDescent="0.3">
      <c r="A1" s="2" t="s">
        <v>31</v>
      </c>
      <c r="B1" s="3" t="s">
        <v>13</v>
      </c>
      <c r="C1" s="4" t="s">
        <v>15</v>
      </c>
      <c r="D1" s="2" t="s">
        <v>51</v>
      </c>
      <c r="E1" s="4" t="s">
        <v>52</v>
      </c>
      <c r="F1" s="13" t="s">
        <v>56</v>
      </c>
    </row>
    <row r="2" spans="1:6" x14ac:dyDescent="0.25">
      <c r="A2" t="s">
        <v>20</v>
      </c>
      <c r="B2" s="9">
        <v>44691</v>
      </c>
      <c r="C2">
        <v>50000</v>
      </c>
      <c r="D2" s="9">
        <v>45376</v>
      </c>
      <c r="E2" s="9">
        <v>45383</v>
      </c>
      <c r="F2">
        <f>DATEDIF(D2,E2,"d")</f>
        <v>7</v>
      </c>
    </row>
    <row r="3" spans="1:6" x14ac:dyDescent="0.25">
      <c r="A3" t="s">
        <v>21</v>
      </c>
      <c r="B3" s="9">
        <v>44691</v>
      </c>
      <c r="C3">
        <v>50000</v>
      </c>
      <c r="D3" s="9">
        <v>45377</v>
      </c>
      <c r="E3" s="9">
        <v>45384</v>
      </c>
      <c r="F3">
        <f t="shared" ref="F3:F9" si="0">DATEDIF(D3,E3,"d")</f>
        <v>7</v>
      </c>
    </row>
    <row r="4" spans="1:6" x14ac:dyDescent="0.25">
      <c r="A4" t="s">
        <v>22</v>
      </c>
      <c r="B4" s="9">
        <v>44691</v>
      </c>
      <c r="C4">
        <v>55000</v>
      </c>
      <c r="D4" s="9">
        <v>45378</v>
      </c>
      <c r="E4" s="9">
        <v>45385</v>
      </c>
      <c r="F4">
        <f t="shared" si="0"/>
        <v>7</v>
      </c>
    </row>
    <row r="5" spans="1:6" x14ac:dyDescent="0.25">
      <c r="A5" t="s">
        <v>23</v>
      </c>
      <c r="B5" s="9">
        <v>44691</v>
      </c>
      <c r="C5">
        <v>45000</v>
      </c>
      <c r="D5" s="9">
        <v>45379</v>
      </c>
      <c r="E5" s="9">
        <v>45386</v>
      </c>
      <c r="F5">
        <f t="shared" si="0"/>
        <v>7</v>
      </c>
    </row>
    <row r="6" spans="1:6" x14ac:dyDescent="0.25">
      <c r="A6" t="s">
        <v>24</v>
      </c>
      <c r="B6" s="9">
        <v>44691</v>
      </c>
      <c r="C6">
        <v>54000</v>
      </c>
      <c r="D6" s="9">
        <v>45380</v>
      </c>
      <c r="E6" s="9">
        <v>45387</v>
      </c>
      <c r="F6">
        <f t="shared" si="0"/>
        <v>7</v>
      </c>
    </row>
    <row r="7" spans="1:6" x14ac:dyDescent="0.25">
      <c r="A7" t="s">
        <v>53</v>
      </c>
      <c r="B7" s="9">
        <v>44691</v>
      </c>
      <c r="C7">
        <v>52000</v>
      </c>
      <c r="D7" s="9">
        <v>45381</v>
      </c>
      <c r="E7" s="9">
        <v>45388</v>
      </c>
      <c r="F7">
        <f t="shared" si="0"/>
        <v>7</v>
      </c>
    </row>
    <row r="8" spans="1:6" x14ac:dyDescent="0.25">
      <c r="A8" t="s">
        <v>54</v>
      </c>
      <c r="B8" s="9">
        <v>44691</v>
      </c>
      <c r="C8">
        <v>52000</v>
      </c>
      <c r="D8" s="9">
        <v>45382</v>
      </c>
      <c r="E8" s="9">
        <v>45389</v>
      </c>
      <c r="F8">
        <f t="shared" si="0"/>
        <v>7</v>
      </c>
    </row>
    <row r="9" spans="1:6" x14ac:dyDescent="0.25">
      <c r="A9" t="s">
        <v>55</v>
      </c>
      <c r="B9" s="9">
        <v>44691</v>
      </c>
      <c r="C9">
        <v>55000</v>
      </c>
      <c r="D9" s="9">
        <v>45383</v>
      </c>
      <c r="E9" s="9">
        <v>45390</v>
      </c>
      <c r="F9">
        <f t="shared" si="0"/>
        <v>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zoomScale="160" zoomScaleNormal="160" workbookViewId="0">
      <selection activeCell="C6" sqref="C6"/>
    </sheetView>
  </sheetViews>
  <sheetFormatPr defaultRowHeight="15" x14ac:dyDescent="0.25"/>
  <cols>
    <col min="1" max="1" width="14.7109375" bestFit="1" customWidth="1"/>
    <col min="2" max="2" width="11.7109375" bestFit="1" customWidth="1"/>
    <col min="3" max="3" width="11.140625" bestFit="1" customWidth="1"/>
    <col min="4" max="4" width="11.140625" customWidth="1"/>
    <col min="5" max="5" width="11.85546875" bestFit="1" customWidth="1"/>
    <col min="6" max="6" width="12.42578125" bestFit="1" customWidth="1"/>
  </cols>
  <sheetData>
    <row r="1" spans="1:8" ht="15.75" thickBot="1" x14ac:dyDescent="0.3">
      <c r="A1" s="2" t="s">
        <v>31</v>
      </c>
      <c r="B1" s="4" t="s">
        <v>12</v>
      </c>
      <c r="C1" s="4" t="s">
        <v>15</v>
      </c>
      <c r="D1" s="6" t="s">
        <v>58</v>
      </c>
      <c r="E1" s="13" t="s">
        <v>57</v>
      </c>
      <c r="F1" s="13" t="s">
        <v>59</v>
      </c>
    </row>
    <row r="2" spans="1:8" x14ac:dyDescent="0.25">
      <c r="A2" t="s">
        <v>20</v>
      </c>
      <c r="B2" s="5" t="s">
        <v>26</v>
      </c>
      <c r="C2" s="12">
        <v>50000</v>
      </c>
      <c r="D2" s="12">
        <v>3</v>
      </c>
      <c r="E2" t="str">
        <f>IF(C2&gt;$C$2,"high","low")</f>
        <v>low</v>
      </c>
      <c r="F2" t="e">
        <f ca="1">ifs(D2=1,"Excellent",
D2=2,"Good",
D2=3,"Avg",
D2=4,"Nice",
D2=5,"Poor")</f>
        <v>#NAME?</v>
      </c>
      <c r="G2" t="e">
        <f ca="1">switch(D2,
1,"e",
2,"g",
3,"avg",
4,"f",
5,"p")</f>
        <v>#NAME?</v>
      </c>
      <c r="H2" t="str">
        <f>IF(OR(B2="marketing",B2="hr"),"Bonus","No-Bonus")</f>
        <v>No-Bonus</v>
      </c>
    </row>
    <row r="3" spans="1:8" x14ac:dyDescent="0.25">
      <c r="A3" t="s">
        <v>21</v>
      </c>
      <c r="B3" s="5" t="s">
        <v>27</v>
      </c>
      <c r="C3" s="12">
        <v>50000</v>
      </c>
      <c r="D3" s="12">
        <v>3</v>
      </c>
      <c r="E3" t="str">
        <f>IF(C3&gt;$C$2,"high","low")</f>
        <v>low</v>
      </c>
      <c r="H3" t="str">
        <f t="shared" ref="H3:H6" si="0">IF(OR(B3="marketing",B3="hr"),"Bonus","No-Bonus")</f>
        <v>Bonus</v>
      </c>
    </row>
    <row r="4" spans="1:8" x14ac:dyDescent="0.25">
      <c r="A4" t="s">
        <v>22</v>
      </c>
      <c r="B4" s="5" t="s">
        <v>26</v>
      </c>
      <c r="C4" s="12">
        <v>55000</v>
      </c>
      <c r="D4" s="12">
        <v>4</v>
      </c>
      <c r="E4" t="str">
        <f>IF(C4&gt;$C$2,"high","low")</f>
        <v>high</v>
      </c>
      <c r="H4" t="str">
        <f t="shared" si="0"/>
        <v>No-Bonus</v>
      </c>
    </row>
    <row r="5" spans="1:8" x14ac:dyDescent="0.25">
      <c r="A5" t="s">
        <v>23</v>
      </c>
      <c r="B5" s="5" t="s">
        <v>29</v>
      </c>
      <c r="C5" s="12">
        <v>45000</v>
      </c>
      <c r="D5" s="12">
        <v>2</v>
      </c>
      <c r="E5" t="str">
        <f>IF(C5&gt;$C$2,"high","low")</f>
        <v>low</v>
      </c>
      <c r="H5" t="str">
        <f t="shared" si="0"/>
        <v>Bonus</v>
      </c>
    </row>
    <row r="6" spans="1:8" x14ac:dyDescent="0.25">
      <c r="A6" t="s">
        <v>24</v>
      </c>
      <c r="B6" s="5" t="s">
        <v>30</v>
      </c>
      <c r="C6" s="12">
        <v>54000</v>
      </c>
      <c r="D6" s="12">
        <v>4</v>
      </c>
      <c r="E6" t="str">
        <f>IF(C6&gt;$C$2,"high","low")</f>
        <v>high</v>
      </c>
      <c r="H6" t="str">
        <f t="shared" si="0"/>
        <v>No-Bonus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179" workbookViewId="0">
      <selection sqref="A1:C10"/>
    </sheetView>
  </sheetViews>
  <sheetFormatPr defaultRowHeight="15" x14ac:dyDescent="0.25"/>
  <cols>
    <col min="1" max="1" width="14.7109375" bestFit="1" customWidth="1"/>
    <col min="2" max="2" width="16.28515625" bestFit="1" customWidth="1"/>
    <col min="3" max="3" width="11.140625" bestFit="1" customWidth="1"/>
    <col min="5" max="5" width="11.7109375" bestFit="1" customWidth="1"/>
    <col min="6" max="6" width="11.140625" bestFit="1" customWidth="1"/>
  </cols>
  <sheetData>
    <row r="1" spans="1:6" ht="15.75" thickBot="1" x14ac:dyDescent="0.3">
      <c r="A1" s="2" t="s">
        <v>31</v>
      </c>
      <c r="B1" s="4" t="s">
        <v>12</v>
      </c>
      <c r="C1" s="4" t="s">
        <v>15</v>
      </c>
    </row>
    <row r="2" spans="1:6" x14ac:dyDescent="0.25">
      <c r="A2" t="s">
        <v>23</v>
      </c>
      <c r="B2" s="5" t="s">
        <v>29</v>
      </c>
      <c r="C2" s="12">
        <v>45000</v>
      </c>
    </row>
    <row r="3" spans="1:6" x14ac:dyDescent="0.25">
      <c r="A3" t="s">
        <v>21</v>
      </c>
      <c r="B3" s="5" t="s">
        <v>27</v>
      </c>
      <c r="C3" s="12">
        <v>50000</v>
      </c>
    </row>
    <row r="4" spans="1:6" x14ac:dyDescent="0.25">
      <c r="A4" t="s">
        <v>24</v>
      </c>
      <c r="B4" s="5" t="s">
        <v>27</v>
      </c>
      <c r="C4" s="12">
        <v>54000</v>
      </c>
    </row>
    <row r="5" spans="1:6" x14ac:dyDescent="0.25">
      <c r="A5" t="s">
        <v>20</v>
      </c>
      <c r="B5" s="5" t="s">
        <v>26</v>
      </c>
      <c r="C5" s="12">
        <v>50000</v>
      </c>
    </row>
    <row r="6" spans="1:6" x14ac:dyDescent="0.25">
      <c r="A6" t="s">
        <v>22</v>
      </c>
      <c r="B6" s="5" t="s">
        <v>26</v>
      </c>
      <c r="C6" s="12">
        <v>55000</v>
      </c>
    </row>
    <row r="7" spans="1:6" ht="15.75" thickBot="1" x14ac:dyDescent="0.3"/>
    <row r="8" spans="1:6" ht="15.75" thickBot="1" x14ac:dyDescent="0.3">
      <c r="A8">
        <f>VLOOKUP(A5,A2:C6,3,FALSE)</f>
        <v>50000</v>
      </c>
      <c r="E8" s="4" t="s">
        <v>12</v>
      </c>
      <c r="F8" s="4" t="s">
        <v>15</v>
      </c>
    </row>
    <row r="9" spans="1:6" x14ac:dyDescent="0.25">
      <c r="A9">
        <f>HLOOKUP(C1,A1:C6,4,FALSE)</f>
        <v>54000</v>
      </c>
      <c r="E9" s="5" t="s">
        <v>27</v>
      </c>
      <c r="F9" s="12" t="s">
        <v>60</v>
      </c>
    </row>
    <row r="10" spans="1:6" x14ac:dyDescent="0.25">
      <c r="A10">
        <f>INDEX(C1:C6,MATCH("jane smith",A1:A6))</f>
        <v>50000</v>
      </c>
    </row>
    <row r="11" spans="1:6" x14ac:dyDescent="0.25">
      <c r="A11" t="str">
        <f ca="1">IFERROR(xlookup("Bob brown",A1:A6,C1:C6),"formula wrong")</f>
        <v>formula wrong</v>
      </c>
    </row>
    <row r="12" spans="1:6" x14ac:dyDescent="0.25">
      <c r="A12" t="str">
        <f>LOOKUP(50000,C1:C6,A1:A6)</f>
        <v>Jane smith</v>
      </c>
    </row>
  </sheetData>
  <autoFilter ref="B1:B6"/>
  <sortState ref="A2:C6">
    <sortCondition ref="B2:B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D6" sqref="D6"/>
    </sheetView>
  </sheetViews>
  <sheetFormatPr defaultRowHeight="15" x14ac:dyDescent="0.25"/>
  <cols>
    <col min="2" max="2" width="10.42578125" bestFit="1" customWidth="1"/>
    <col min="4" max="4" width="15.5703125" bestFit="1" customWidth="1"/>
  </cols>
  <sheetData>
    <row r="1" spans="1:6" ht="15.75" thickBot="1" x14ac:dyDescent="0.3">
      <c r="A1" s="8" t="s">
        <v>0</v>
      </c>
      <c r="B1" s="1" t="s">
        <v>1</v>
      </c>
      <c r="C1" s="8" t="s">
        <v>50</v>
      </c>
      <c r="D1" s="4" t="s">
        <v>12</v>
      </c>
    </row>
    <row r="2" spans="1:6" x14ac:dyDescent="0.25">
      <c r="A2" t="s">
        <v>5</v>
      </c>
      <c r="B2">
        <v>2000</v>
      </c>
      <c r="C2">
        <v>50000</v>
      </c>
      <c r="D2" s="5" t="s">
        <v>26</v>
      </c>
      <c r="F2">
        <v>1</v>
      </c>
    </row>
    <row r="3" spans="1:6" x14ac:dyDescent="0.25">
      <c r="A3" t="s">
        <v>6</v>
      </c>
      <c r="B3">
        <v>2500</v>
      </c>
      <c r="C3">
        <v>55000</v>
      </c>
      <c r="D3" s="5" t="s">
        <v>27</v>
      </c>
      <c r="F3">
        <v>2</v>
      </c>
    </row>
    <row r="4" spans="1:6" x14ac:dyDescent="0.25">
      <c r="A4" t="s">
        <v>7</v>
      </c>
      <c r="B4">
        <v>1800</v>
      </c>
      <c r="C4">
        <v>45000</v>
      </c>
      <c r="D4" s="5" t="s">
        <v>26</v>
      </c>
      <c r="F4">
        <v>3</v>
      </c>
    </row>
    <row r="5" spans="1:6" x14ac:dyDescent="0.25">
      <c r="A5" t="s">
        <v>8</v>
      </c>
      <c r="B5">
        <v>2200</v>
      </c>
      <c r="C5">
        <v>54000</v>
      </c>
      <c r="D5" s="5" t="s">
        <v>29</v>
      </c>
      <c r="F5">
        <v>4</v>
      </c>
    </row>
    <row r="6" spans="1:6" x14ac:dyDescent="0.25">
      <c r="A6" t="s">
        <v>9</v>
      </c>
      <c r="B6">
        <v>2100</v>
      </c>
      <c r="C6">
        <v>52000</v>
      </c>
      <c r="D6" s="5" t="s">
        <v>30</v>
      </c>
      <c r="F6">
        <v>5</v>
      </c>
    </row>
    <row r="7" spans="1:6" x14ac:dyDescent="0.25">
      <c r="F7">
        <v>6</v>
      </c>
    </row>
    <row r="8" spans="1:6" x14ac:dyDescent="0.25">
      <c r="D8">
        <f>360*4</f>
        <v>1440</v>
      </c>
    </row>
    <row r="11" spans="1:6" x14ac:dyDescent="0.25">
      <c r="B11" s="9">
        <f ca="1">TODAY()</f>
        <v>46178</v>
      </c>
      <c r="D11">
        <f ca="1">YEAR(B11)</f>
        <v>2026</v>
      </c>
    </row>
    <row r="12" spans="1:6" x14ac:dyDescent="0.25">
      <c r="B12" s="9">
        <f ca="1">TODAY()-1</f>
        <v>46177</v>
      </c>
      <c r="D12">
        <f ca="1">DAY(B12)</f>
        <v>4</v>
      </c>
    </row>
    <row r="13" spans="1:6" x14ac:dyDescent="0.25">
      <c r="B13" s="9">
        <f ca="1">TODAY()+1</f>
        <v>46179</v>
      </c>
      <c r="D13">
        <f ca="1">MONTH(B13)</f>
        <v>6</v>
      </c>
    </row>
    <row r="14" spans="1:6" x14ac:dyDescent="0.25">
      <c r="B14" s="9">
        <v>44352</v>
      </c>
    </row>
    <row r="15" spans="1:6" x14ac:dyDescent="0.25">
      <c r="B15" s="10">
        <v>0.12210648148148147</v>
      </c>
      <c r="D15">
        <f>HOUR(B15)</f>
        <v>2</v>
      </c>
    </row>
    <row r="16" spans="1:6" x14ac:dyDescent="0.25">
      <c r="D16">
        <f>MINUTE(B15)</f>
        <v>55</v>
      </c>
    </row>
    <row r="17" spans="4:4" x14ac:dyDescent="0.25">
      <c r="D17">
        <f>SECOND(B15)</f>
        <v>50</v>
      </c>
    </row>
    <row r="18" spans="4:4" x14ac:dyDescent="0.25">
      <c r="D18" s="11">
        <f ca="1">NOW()</f>
        <v>46178.624245601852</v>
      </c>
    </row>
    <row r="19" spans="4:4" x14ac:dyDescent="0.25">
      <c r="D19">
        <f ca="1">DATEDIF(B14,B11,"d")</f>
        <v>1826</v>
      </c>
    </row>
    <row r="20" spans="4:4" x14ac:dyDescent="0.25">
      <c r="D20">
        <f ca="1">NETWORKDAYS(B14,B11)</f>
        <v>1305</v>
      </c>
    </row>
    <row r="21" spans="4:4" x14ac:dyDescent="0.25">
      <c r="D21" s="9">
        <f>WORKDAY(B14,D8)</f>
        <v>46367</v>
      </c>
    </row>
  </sheetData>
  <dataConsolidate topLabels="1" link="1">
    <dataRefs count="1">
      <dataRef ref="C1:D6" sheet="Sheet2"/>
    </dataRefs>
  </dataConsolid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zoomScale="107" workbookViewId="0">
      <pane ySplit="1" topLeftCell="A2" activePane="bottomLeft" state="frozen"/>
      <selection activeCell="B1" sqref="B1"/>
      <selection pane="bottomLeft" activeCell="A2" sqref="A2:A6"/>
    </sheetView>
  </sheetViews>
  <sheetFormatPr defaultRowHeight="15" x14ac:dyDescent="0.25"/>
  <cols>
    <col min="1" max="2" width="14.7109375" customWidth="1"/>
    <col min="3" max="3" width="19.5703125" bestFit="1" customWidth="1"/>
    <col min="4" max="4" width="20" bestFit="1" customWidth="1"/>
    <col min="5" max="5" width="11.7109375" bestFit="1" customWidth="1"/>
    <col min="6" max="6" width="14.7109375" bestFit="1" customWidth="1"/>
    <col min="7" max="7" width="13.5703125" bestFit="1" customWidth="1"/>
    <col min="8" max="8" width="11" bestFit="1" customWidth="1"/>
    <col min="10" max="10" width="11.85546875" bestFit="1" customWidth="1"/>
    <col min="11" max="11" width="11" bestFit="1" customWidth="1"/>
    <col min="12" max="12" width="13.42578125" bestFit="1" customWidth="1"/>
  </cols>
  <sheetData>
    <row r="1" spans="1:12" ht="15.75" thickBot="1" x14ac:dyDescent="0.3">
      <c r="A1" s="2" t="s">
        <v>10</v>
      </c>
      <c r="B1" s="2" t="s">
        <v>31</v>
      </c>
      <c r="C1" s="6"/>
      <c r="D1" s="6" t="s">
        <v>11</v>
      </c>
      <c r="E1" s="4" t="s">
        <v>12</v>
      </c>
      <c r="F1" s="2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4" t="s">
        <v>19</v>
      </c>
    </row>
    <row r="2" spans="1:12" x14ac:dyDescent="0.25">
      <c r="A2" t="s">
        <v>20</v>
      </c>
      <c r="B2" t="str">
        <f t="shared" ref="B2:B7" si="0">PROPER(A2)</f>
        <v>John Doe</v>
      </c>
      <c r="C2" t="str">
        <f>LOWER(D2)</f>
        <v>john @example.com</v>
      </c>
      <c r="D2" t="str">
        <f>CONCATENATE(PivotUnpivotData!A2,PivotUnpivotData!I2)</f>
        <v>John @example.com</v>
      </c>
      <c r="E2" s="5" t="s">
        <v>26</v>
      </c>
    </row>
    <row r="3" spans="1:12" x14ac:dyDescent="0.25">
      <c r="A3" t="s">
        <v>21</v>
      </c>
      <c r="B3" t="str">
        <f t="shared" si="0"/>
        <v>Jane Smith</v>
      </c>
      <c r="C3" t="str">
        <f>LOWER(D3)</f>
        <v>jane @example.com</v>
      </c>
      <c r="D3" t="str">
        <f>CONCATENATE(PivotUnpivotData!A3,PivotUnpivotData!I3)</f>
        <v>Jane @example.com</v>
      </c>
      <c r="E3" s="5" t="s">
        <v>27</v>
      </c>
    </row>
    <row r="4" spans="1:12" x14ac:dyDescent="0.25">
      <c r="A4" t="s">
        <v>22</v>
      </c>
      <c r="B4" t="str">
        <f t="shared" si="0"/>
        <v>Alice Johnson</v>
      </c>
      <c r="C4" t="str">
        <f>LOWER(D4)</f>
        <v>alice @example.com</v>
      </c>
      <c r="D4" t="str">
        <f>CONCATENATE(PivotUnpivotData!A4,PivotUnpivotData!I4)</f>
        <v>Alice @example.com</v>
      </c>
      <c r="E4" s="5" t="s">
        <v>28</v>
      </c>
    </row>
    <row r="5" spans="1:12" x14ac:dyDescent="0.25">
      <c r="A5" t="s">
        <v>23</v>
      </c>
      <c r="B5" t="str">
        <f t="shared" si="0"/>
        <v>Bob Brown</v>
      </c>
      <c r="C5" t="str">
        <f t="shared" ref="C5:C6" si="1">LOWER(D5)</f>
        <v>bob @example.com</v>
      </c>
      <c r="D5" t="str">
        <f>CONCATENATE(PivotUnpivotData!A5,PivotUnpivotData!I5)</f>
        <v>Bob @example.com</v>
      </c>
      <c r="E5" s="5" t="s">
        <v>29</v>
      </c>
    </row>
    <row r="6" spans="1:12" x14ac:dyDescent="0.25">
      <c r="A6" t="s">
        <v>24</v>
      </c>
      <c r="B6" t="str">
        <f t="shared" si="0"/>
        <v>Eva White</v>
      </c>
      <c r="C6" t="str">
        <f t="shared" si="1"/>
        <v>eva @example.com</v>
      </c>
      <c r="D6" t="str">
        <f>CONCATENATE(PivotUnpivotData!A6,PivotUnpivotData!I6)</f>
        <v>Eva @example.com</v>
      </c>
      <c r="E6" s="5" t="s">
        <v>30</v>
      </c>
    </row>
    <row r="7" spans="1:12" ht="15.75" thickBot="1" x14ac:dyDescent="0.3">
      <c r="B7" t="str">
        <f t="shared" si="0"/>
        <v/>
      </c>
    </row>
    <row r="8" spans="1:12" ht="15.75" thickBot="1" x14ac:dyDescent="0.3">
      <c r="A8" s="2" t="s">
        <v>32</v>
      </c>
      <c r="B8" s="3" t="s">
        <v>33</v>
      </c>
      <c r="C8" s="4" t="s">
        <v>34</v>
      </c>
    </row>
    <row r="9" spans="1:12" x14ac:dyDescent="0.25">
      <c r="A9" t="str">
        <f>RIGHT(C2,5)</f>
        <v>e.com</v>
      </c>
      <c r="B9" t="str">
        <f>LEFT(C2,3)</f>
        <v>joh</v>
      </c>
      <c r="D9" t="s">
        <v>36</v>
      </c>
      <c r="E9" t="s">
        <v>41</v>
      </c>
      <c r="F9" t="s">
        <v>42</v>
      </c>
      <c r="G9" t="s">
        <v>47</v>
      </c>
      <c r="H9" t="s">
        <v>48</v>
      </c>
    </row>
    <row r="10" spans="1:12" x14ac:dyDescent="0.25">
      <c r="A10" t="str">
        <f t="shared" ref="A10:A13" si="2">RIGHT(C3,5)</f>
        <v>e.com</v>
      </c>
      <c r="B10" t="str">
        <f t="shared" ref="B10:B13" si="3">LEFT(C3,3)</f>
        <v>jan</v>
      </c>
      <c r="D10" t="s">
        <v>37</v>
      </c>
      <c r="E10" t="s">
        <v>43</v>
      </c>
      <c r="F10" t="s">
        <v>42</v>
      </c>
      <c r="G10" t="s">
        <v>47</v>
      </c>
      <c r="H10" t="s">
        <v>48</v>
      </c>
    </row>
    <row r="11" spans="1:12" x14ac:dyDescent="0.25">
      <c r="A11" t="str">
        <f t="shared" si="2"/>
        <v>e.com</v>
      </c>
      <c r="B11" t="str">
        <f t="shared" si="3"/>
        <v>ali</v>
      </c>
      <c r="D11" t="s">
        <v>38</v>
      </c>
      <c r="E11" t="s">
        <v>44</v>
      </c>
      <c r="F11" t="s">
        <v>42</v>
      </c>
      <c r="G11" t="s">
        <v>47</v>
      </c>
      <c r="H11" t="s">
        <v>48</v>
      </c>
    </row>
    <row r="12" spans="1:12" x14ac:dyDescent="0.25">
      <c r="A12" t="str">
        <f t="shared" si="2"/>
        <v>e.com</v>
      </c>
      <c r="B12" t="str">
        <f t="shared" si="3"/>
        <v>bob</v>
      </c>
      <c r="D12" t="s">
        <v>39</v>
      </c>
      <c r="E12" t="s">
        <v>45</v>
      </c>
      <c r="F12" t="s">
        <v>42</v>
      </c>
      <c r="G12" t="s">
        <v>47</v>
      </c>
      <c r="H12" t="s">
        <v>48</v>
      </c>
    </row>
    <row r="13" spans="1:12" x14ac:dyDescent="0.25">
      <c r="A13" t="str">
        <f t="shared" si="2"/>
        <v>e.com</v>
      </c>
      <c r="B13" t="str">
        <f t="shared" si="3"/>
        <v>eva</v>
      </c>
      <c r="D13" t="s">
        <v>40</v>
      </c>
      <c r="E13" t="s">
        <v>46</v>
      </c>
      <c r="F13" t="s">
        <v>42</v>
      </c>
      <c r="G13" t="s">
        <v>47</v>
      </c>
      <c r="H13" t="s">
        <v>48</v>
      </c>
    </row>
    <row r="15" spans="1:12" x14ac:dyDescent="0.25">
      <c r="A15" t="s">
        <v>35</v>
      </c>
      <c r="B15" t="s">
        <v>49</v>
      </c>
      <c r="C15" t="str">
        <f>A15&amp;B15</f>
        <v>e.comeva</v>
      </c>
      <c r="D15" t="str">
        <f>CONCATENATE(A15,B15)</f>
        <v>e.comeva</v>
      </c>
      <c r="E15" t="e">
        <f ca="1">TEXTJOIN(A15,B15)</f>
        <v>#NAME?</v>
      </c>
    </row>
    <row r="16" spans="1:12" x14ac:dyDescent="0.25">
      <c r="E16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PivotUnpivotData</vt:lpstr>
      <vt:lpstr>Sheet3</vt:lpstr>
      <vt:lpstr>Sheet4</vt:lpstr>
      <vt:lpstr>Sheet5</vt:lpstr>
      <vt:lpstr>Sheet2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2025-06-26T15:50:08Z</dcterms:created>
  <dcterms:modified xsi:type="dcterms:W3CDTF">2026-06-05T09:33:39Z</dcterms:modified>
</cp:coreProperties>
</file>